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06d6453ef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c7f1c9cbc9e4055"/>
    <x:sheet xmlns:r="http://schemas.openxmlformats.org/officeDocument/2006/relationships" name="Source Forecast" sheetId="2" r:id="R0d94fe34c7344a25"/>
    <x:sheet xmlns:r="http://schemas.openxmlformats.org/officeDocument/2006/relationships" name="Source Hardware" sheetId="3" r:id="Rf1e8acf9847e4078"/>
    <x:sheet xmlns:r="http://schemas.openxmlformats.org/officeDocument/2006/relationships" name="Results" sheetId="4" r:id="Rd1db17c8bd004fd7"/>
    <x:sheet xmlns:r="http://schemas.openxmlformats.org/officeDocument/2006/relationships" name="Evidence" sheetId="5" r:id="R3681a3182cce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0F766E"/>
      <x:name val="Carlito"/>
    </x:font>
    <x:font>
      <x:b/>
      <x:sz val="18"/>
      <x:color rgb="FFFFFFFF"/>
      <x:name val="Arial"/>
    </x:font>
    <x:font>
      <x:sz val="11"/>
      <x:name val="Arial"/>
    </x:font>
    <x:font>
      <x:i/>
      <x:sz val="10"/>
      <x:color rgb="FF64748B"/>
      <x:name val="Arial"/>
    </x:font>
    <x:font>
      <x:b/>
      <x:sz val="11"/>
      <x:color rgb="FFFFFFFF"/>
      <x:name val="Arial"/>
    </x:font>
    <x:font>
      <x:b/>
      <x:sz val="11"/>
      <x:color rgb="FF17324D"/>
      <x:name val="Arial"/>
    </x:font>
    <x:font>
      <x:b/>
      <x:sz val="11"/>
      <x:color rgb="FF0F766E"/>
      <x:name val="Arial"/>
    </x:font>
    <x:font>
      <x:b/>
      <x:sz val="11"/>
      <x:color rgb="FFB45309"/>
      <x:name val="Carlito"/>
    </x:font>
    <x:font>
      <x:b/>
      <x:sz val="11"/>
      <x:color rgb="FFB45309"/>
      <x:name val="Arial"/>
    </x:font>
    <x:font>
      <x:b/>
      <x:sz val="11"/>
      <x:color rgb="FFB91C1C"/>
      <x:name val="Carlito"/>
    </x:font>
    <x:font>
      <x:b/>
      <x:sz val="11"/>
      <x:color rgb="FFB91C1C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4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9" fillId="4" borderId="3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7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7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e90c0997b4332" /><Relationship Type="http://schemas.openxmlformats.org/officeDocument/2006/relationships/theme" Target="/xl/theme/theme1.xml" Id="Re99b79c6a6354841" /><Relationship Type="http://schemas.microsoft.com/office/2022/11/relationships/FeaturePropertyBag" Target="/xl/featurePropertyBag/featurePropertyBag.xml" Id="R8248aa4491d44f54" /><Relationship Type="http://schemas.openxmlformats.org/officeDocument/2006/relationships/sharedStrings" Target="/xl/sharedStrings.xml" Id="R544ac42f31114e33" /><Relationship Type="http://schemas.openxmlformats.org/officeDocument/2006/relationships/worksheet" Target="/xl/worksheets/sheet1.xml" Id="R9c7f1c9cbc9e4055" /><Relationship Type="http://schemas.openxmlformats.org/officeDocument/2006/relationships/worksheet" Target="/xl/worksheets/sheet2.xml" Id="R0d94fe34c7344a25" /><Relationship Type="http://schemas.openxmlformats.org/officeDocument/2006/relationships/worksheet" Target="/xl/worksheets/sheet3.xml" Id="Rf1e8acf9847e4078" /><Relationship Type="http://schemas.openxmlformats.org/officeDocument/2006/relationships/worksheet" Target="/xl/worksheets/sheet4.xml" Id="Rd1db17c8bd004fd7" /><Relationship Type="http://schemas.openxmlformats.org/officeDocument/2006/relationships/worksheet" Target="/xl/worksheets/sheet5.xml" Id="R3681a3182cce46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4103350b9f40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Sai số test hiện có (kW)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MAE test (kW)</c:v>
          </c:tx>
          <c:cat>
            <c:strRef>
              <c:f>'Results'!$A$5:$A$6</c:f>
              <c:strCache>
                <c:ptCount val="0"/>
              </c:strCache>
            </c:strRef>
          </c:cat>
          <c:val>
            <c:numRef>
              <c:f>'Results'!$B$5:$B$6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RMSE test (kW)</c:v>
          </c:tx>
          <c:cat>
            <c:strRef>
              <c:f>'Results'!$A$5:$A$6</c:f>
              <c:strCache>
                <c:ptCount val="0"/>
              </c:strCache>
            </c:strRef>
          </c:cat>
          <c:val>
            <c:numRef>
              <c:f>'Results'!$C$5:$C$6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4103350b9f405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recastSourceTable" displayName="ForecastSourceTable" ref="A4:G8" headerRowCount="1" totalsRowCount="0" totalsRowShown="0">
  <x:tableColumns count="7">
    <x:tableColumn id="1" name="Model"/>
    <x:tableColumn id="2" name="Split"/>
    <x:tableColumn id="3" name="MAE (kW)"/>
    <x:tableColumn id="4" name="RMSE (kW)"/>
    <x:tableColumn id="5" name="MAPE (%)"/>
    <x:tableColumn id="6" name="R²"/>
    <x:tableColumn id="7" name="Inference (ms/sample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GateTable" displayName="EvidenceGateTable" ref="A4:D8" headerRowCount="1" totalsRowCount="0" totalsRowShown="0">
  <x:tableColumns count="4">
    <x:tableColumn id="1" name="Claim"/>
    <x:tableColumn id="2" name="Allowed"/>
    <x:tableColumn id="3" name="Bằng chứng bắt buộc"/>
    <x:tableColumn id="4" name="Hiện trạ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ee1a154bea4c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0f2e4163e844a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fbd6302e44c43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2" customHeight="1">
      <x:c r="A1" s="21" t="str">
        <x:v>SMART HOME - NGUỒN KẾT QUẢ NGHIÊN CỨU CHUẨN</x:v>
      </x:c>
      <x:c r="B1" s="49"/>
      <x:c r="C1" s="49"/>
      <x:c r="D1" s="49"/>
      <x:c r="E1" s="49"/>
      <x:c r="F1" s="49"/>
    </x:row>
    <x:row r="2" ht="30" customHeight="1">
      <x:c r="A2" s="23" t="str">
        <x:v>Workbook này chỉ trình bày dữ liệu từ canonical_results.json; ô trống nghĩa là chưa có bằng chứng, không được thay bằng số 0.</x:v>
      </x:c>
      <x:c r="B2" s="49"/>
      <x:c r="C2" s="49"/>
      <x:c r="D2" s="49"/>
      <x:c r="E2" s="49"/>
      <x:c r="F2" s="49"/>
    </x:row>
    <x:row r="3">
      <x:c r="A3" s="49"/>
      <x:c r="B3" s="49"/>
      <x:c r="C3" s="49"/>
      <x:c r="D3" s="49"/>
      <x:c r="E3" s="49"/>
      <x:c r="F3" s="49"/>
    </x:row>
    <x:row r="4">
      <x:c r="A4" s="24" t="str">
        <x:v>Trường</x:v>
      </x:c>
      <x:c r="B4" s="25" t="str">
        <x:v>Giá trị</x:v>
      </x:c>
      <x:c r="C4" s="49"/>
      <x:c r="D4" s="49"/>
      <x:c r="E4" s="49"/>
      <x:c r="F4" s="49"/>
    </x:row>
    <x:row r="5">
      <x:c r="A5" s="50" t="str">
        <x:v>Canonical schema</x:v>
      </x:c>
      <x:c r="B5" s="51" t="n">
        <x:v>1</x:v>
      </x:c>
      <x:c r="C5" s="49"/>
      <x:c r="D5" s="49"/>
      <x:c r="E5" s="49"/>
      <x:c r="F5" s="49"/>
    </x:row>
    <x:row r="6">
      <x:c r="A6" s="50" t="str">
        <x:v>Sinh lúc (UTC)</x:v>
      </x:c>
      <x:c r="B6" s="52" t="n">
        <x:v>46214.33617283565</x:v>
      </x:c>
      <x:c r="C6" s="49"/>
      <x:c r="D6" s="49"/>
      <x:c r="E6" s="49"/>
      <x:c r="F6" s="49"/>
    </x:row>
    <x:row r="7">
      <x:c r="A7" s="50" t="str">
        <x:v>Nguồn forecast</x:v>
      </x:c>
      <x:c r="B7" s="51" t="str">
        <x:v>ml-training/modeltrainingdone/metrics.json</x:v>
      </x:c>
      <x:c r="C7" s="49"/>
      <x:c r="D7" s="49"/>
      <x:c r="E7" s="49"/>
      <x:c r="F7" s="49"/>
    </x:row>
    <x:row r="8">
      <x:c r="A8" s="50" t="str">
        <x:v>SHA-256 forecast</x:v>
      </x:c>
      <x:c r="B8" s="51" t="str">
        <x:v>50e42efa78838c57e698e38db0e71ed6e5c6b0717330b8f8ee3438eeb1a19001</x:v>
      </x:c>
      <x:c r="C8" s="49"/>
      <x:c r="D8" s="49"/>
      <x:c r="E8" s="49"/>
      <x:c r="F8" s="49"/>
    </x:row>
    <x:row r="9">
      <x:c r="A9" s="50" t="str">
        <x:v>Dataset</x:v>
      </x:c>
      <x:c r="B9" s="51" t="str">
        <x:v>UCI Individual Household Electric Power Consumption</x:v>
      </x:c>
      <x:c r="C9" s="49"/>
      <x:c r="D9" s="49"/>
      <x:c r="E9" s="49"/>
      <x:c r="F9" s="49"/>
    </x:row>
    <x:row r="10">
      <x:c r="A10" s="50" t="str">
        <x:v>Trạng thái phần cứng</x:v>
      </x:c>
      <x:c r="B10" s="51" t="str">
        <x:v>pending_real_trials</x:v>
      </x:c>
      <x:c r="C10" s="49"/>
      <x:c r="D10" s="49"/>
      <x:c r="E10" s="49"/>
      <x:c r="F10" s="49"/>
    </x:row>
    <x:row r="11">
      <x:c r="A11" s="50" t="str">
        <x:v>Quy tắc</x:v>
      </x:c>
      <x:c r="B11" s="51" t="str">
        <x:v>Claims marked false must remain future work or implementation status, not experimental findings.</x:v>
      </x:c>
      <x:c r="C11" s="49"/>
      <x:c r="D11" s="49"/>
      <x:c r="E11" s="49"/>
      <x:c r="F11" s="49"/>
    </x:row>
    <x:row r="12">
      <x:c r="A12" s="49"/>
      <x:c r="B12" s="49"/>
      <x:c r="C12" s="49"/>
      <x:c r="D12" s="49"/>
      <x:c r="E12" s="49"/>
      <x:c r="F12" s="49"/>
    </x:row>
    <x:row r="13">
      <x:c r="A13" s="53" t="str">
        <x:v>Quy trình cập nhật</x:v>
      </x:c>
      <x:c r="B13" s="49"/>
      <x:c r="C13" s="49"/>
      <x:c r="D13" s="49"/>
      <x:c r="E13" s="49"/>
      <x:c r="F13" s="49"/>
    </x:row>
    <x:row r="14" ht="24" customHeight="1">
      <x:c r="A14" s="51" t="str">
        <x:v>1. Thu raw log PLC thật và giữ nguyên file gốc.</x:v>
      </x:c>
      <x:c r="B14" s="51"/>
      <x:c r="C14" s="51"/>
      <x:c r="D14" s="51"/>
      <x:c r="E14" s="51"/>
      <x:c r="F14" s="51"/>
    </x:row>
    <x:row r="15" ht="24" customHeight="1">
      <x:c r="A15" s="51" t="str">
        <x:v>2. Chạy thống kê hardware và benchmark forecast từ script.</x:v>
      </x:c>
      <x:c r="B15" s="51"/>
      <x:c r="C15" s="51"/>
      <x:c r="D15" s="51"/>
      <x:c r="E15" s="51"/>
      <x:c r="F15" s="51"/>
    </x:row>
    <x:row r="16" ht="24" customHeight="1">
      <x:c r="A16" s="51" t="str">
        <x:v>3. Sinh lại canonical_results.json; không sửa JSON thủ công.</x:v>
      </x:c>
      <x:c r="B16" s="51"/>
      <x:c r="C16" s="51"/>
      <x:c r="D16" s="51"/>
      <x:c r="E16" s="51"/>
      <x:c r="F16" s="51"/>
    </x:row>
    <x:row r="17" ht="24" customHeight="1">
      <x:c r="A17" s="51" t="str">
        <x:v>4. Chạy lại builder workbook/hình/bảng.</x:v>
      </x:c>
      <x:c r="B17" s="51"/>
      <x:c r="C17" s="51"/>
      <x:c r="D17" s="51"/>
      <x:c r="E17" s="51"/>
      <x:c r="F17" s="51"/>
    </x:row>
    <x:row r="18" ht="24" customHeight="1">
      <x:c r="A18" s="51" t="str">
        <x:v>5. Chỉ đưa claim có trạng thái ALLOWED vào bài báo và luận văn.</x:v>
      </x:c>
      <x:c r="B18" s="51"/>
      <x:c r="C18" s="51"/>
      <x:c r="D18" s="51"/>
      <x:c r="E18" s="51"/>
      <x:c r="F18" s="51"/>
    </x:row>
  </x:sheetData>
  <x:mergeCells>
    <x:mergeCell ref="A1:F1"/>
    <x:mergeCell ref="A2:F2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21" t="str">
        <x:v>SOURCE FORECAST METRICS</x:v>
      </x:c>
      <x:c r="B1" s="49"/>
      <x:c r="C1" s="49"/>
      <x:c r="D1" s="49"/>
      <x:c r="E1" s="49"/>
      <x:c r="F1" s="49"/>
      <x:c r="G1" s="49"/>
    </x:row>
    <x:row r="2" ht="30" customHeight="1">
      <x:c r="A2" s="23" t="str">
        <x:v>Dữ liệu phẳng từ metrics.json; đơn vị nằm trong tiêu đề cột.</x:v>
      </x:c>
      <x:c r="B2" s="49"/>
      <x:c r="C2" s="49"/>
      <x:c r="D2" s="49"/>
      <x:c r="E2" s="49"/>
      <x:c r="F2" s="49"/>
      <x:c r="G2" s="49"/>
    </x:row>
    <x:row r="3">
      <x:c r="A3" s="49"/>
      <x:c r="B3" s="49"/>
      <x:c r="C3" s="49"/>
      <x:c r="D3" s="49"/>
      <x:c r="E3" s="49"/>
      <x:c r="F3" s="49"/>
      <x:c r="G3" s="49"/>
    </x:row>
    <x:row r="4">
      <x:c r="A4" s="24" t="str">
        <x:v>Model</x:v>
      </x:c>
      <x:c r="B4" s="34" t="str">
        <x:v>Split</x:v>
      </x:c>
      <x:c r="C4" s="34" t="str">
        <x:v>MAE (kW)</x:v>
      </x:c>
      <x:c r="D4" s="34" t="str">
        <x:v>RMSE (kW)</x:v>
      </x:c>
      <x:c r="E4" s="34" t="str">
        <x:v>MAPE (%)</x:v>
      </x:c>
      <x:c r="F4" s="34" t="str">
        <x:v>R²</x:v>
      </x:c>
      <x:c r="G4" s="25" t="str">
        <x:v>Inference (ms/sample)</x:v>
      </x:c>
    </x:row>
    <x:row r="5">
      <x:c r="A5" s="49" t="str">
        <x:v>random_forest</x:v>
      </x:c>
      <x:c r="B5" s="49" t="str">
        <x:v>validation</x:v>
      </x:c>
      <x:c r="C5" s="54" t="n">
        <x:v>0.5062155220621641</x:v>
      </x:c>
      <x:c r="D5" s="54" t="n">
        <x:v>0.6930520413260809</x:v>
      </x:c>
      <x:c r="E5" s="54" t="n">
        <x:v>55.690373644409775</x:v>
      </x:c>
      <x:c r="F5" s="54"/>
      <x:c r="G5" s="54"/>
    </x:row>
    <x:row r="6">
      <x:c r="A6" s="49" t="str">
        <x:v>random_forest</x:v>
      </x:c>
      <x:c r="B6" s="49" t="str">
        <x:v>test</x:v>
      </x:c>
      <x:c r="C6" s="54" t="n">
        <x:v>0.4096988406067874</x:v>
      </x:c>
      <x:c r="D6" s="54" t="n">
        <x:v>0.5636062260833368</x:v>
      </x:c>
      <x:c r="E6" s="54" t="n">
        <x:v>57.9386214454387</x:v>
      </x:c>
      <x:c r="F6" s="54"/>
      <x:c r="G6" s="54"/>
    </x:row>
    <x:row r="7">
      <x:c r="A7" s="49" t="str">
        <x:v>xgboost</x:v>
      </x:c>
      <x:c r="B7" s="49" t="str">
        <x:v>validation</x:v>
      </x:c>
      <x:c r="C7" s="54" t="n">
        <x:v>0.49237802401347625</x:v>
      </x:c>
      <x:c r="D7" s="54" t="n">
        <x:v>0.6810527217761696</x:v>
      </x:c>
      <x:c r="E7" s="54" t="n">
        <x:v>53.477897604978885</x:v>
      </x:c>
      <x:c r="F7" s="54"/>
      <x:c r="G7" s="54"/>
    </x:row>
    <x:row r="8">
      <x:c r="A8" s="49" t="str">
        <x:v>xgboost</x:v>
      </x:c>
      <x:c r="B8" s="49" t="str">
        <x:v>test</x:v>
      </x:c>
      <x:c r="C8" s="54" t="n">
        <x:v>0.4010042656218205</x:v>
      </x:c>
      <x:c r="D8" s="54" t="n">
        <x:v>0.5589435250621108</x:v>
      </x:c>
      <x:c r="E8" s="54" t="n">
        <x:v>55.81322751125612</x:v>
      </x:c>
      <x:c r="F8" s="54"/>
      <x:c r="G8" s="54"/>
    </x:row>
    <x:row r="9">
      <x:c r="A9" s="49"/>
      <x:c r="B9" s="49"/>
      <x:c r="C9" s="49"/>
      <x:c r="D9" s="49"/>
      <x:c r="E9" s="49"/>
      <x:c r="F9" s="49"/>
      <x:c r="G9" s="49"/>
    </x:row>
    <x:row r="10">
      <x:c r="A10" s="49"/>
      <x:c r="B10" s="49"/>
      <x:c r="C10" s="49"/>
      <x:c r="D10" s="49"/>
      <x:c r="E10" s="49"/>
      <x:c r="F10" s="49"/>
      <x:c r="G10" s="49"/>
    </x:row>
    <x:row r="11">
      <x:c r="A11" s="49"/>
      <x:c r="B11" s="49"/>
      <x:c r="C11" s="49"/>
      <x:c r="D11" s="49"/>
      <x:c r="E11" s="49"/>
      <x:c r="F11" s="49"/>
      <x:c r="G11" s="49"/>
    </x:row>
    <x:row r="12">
      <x:c r="A12" s="49"/>
      <x:c r="B12" s="49"/>
      <x:c r="C12" s="49"/>
      <x:c r="D12" s="49"/>
      <x:c r="E12" s="49"/>
      <x:c r="F12" s="49"/>
      <x:c r="G12" s="49"/>
    </x:row>
    <x:row r="13">
      <x:c r="A13" s="49"/>
      <x:c r="B13" s="49"/>
      <x:c r="C13" s="49"/>
      <x:c r="D13" s="49"/>
      <x:c r="E13" s="49"/>
      <x:c r="F13" s="49"/>
      <x:c r="G13" s="49"/>
    </x:row>
    <x:row r="14">
      <x:c r="A14" s="49"/>
      <x:c r="B14" s="49"/>
      <x:c r="C14" s="49"/>
      <x:c r="D14" s="49"/>
      <x:c r="E14" s="49"/>
      <x:c r="F14" s="49"/>
      <x:c r="G14" s="49"/>
    </x:row>
    <x:row r="15">
      <x:c r="A15" s="49"/>
      <x:c r="B15" s="49"/>
      <x:c r="C15" s="49"/>
      <x:c r="D15" s="49"/>
      <x:c r="E15" s="49"/>
      <x:c r="F15" s="49"/>
      <x:c r="G15" s="49"/>
    </x:row>
    <x:row r="16">
      <x:c r="A16" s="49"/>
      <x:c r="B16" s="49"/>
      <x:c r="C16" s="49"/>
      <x:c r="D16" s="49"/>
      <x:c r="E16" s="49"/>
      <x:c r="F16" s="49"/>
      <x:c r="G16" s="49"/>
    </x:row>
    <x:row r="17">
      <x:c r="A17" s="49"/>
      <x:c r="B17" s="49"/>
      <x:c r="C17" s="49"/>
      <x:c r="D17" s="49"/>
      <x:c r="E17" s="49"/>
      <x:c r="F17" s="49"/>
      <x:c r="G17" s="49"/>
    </x:row>
    <x:row r="18">
      <x:c r="A18" s="49"/>
      <x:c r="B18" s="49"/>
      <x:c r="C18" s="49"/>
      <x:c r="D18" s="49"/>
      <x:c r="E18" s="49"/>
      <x:c r="F18" s="49"/>
      <x:c r="G18" s="49"/>
    </x:row>
    <x:row r="19">
      <x:c r="A19" s="49"/>
      <x:c r="B19" s="49"/>
      <x:c r="C19" s="49"/>
      <x:c r="D19" s="49"/>
      <x:c r="E19" s="49"/>
      <x:c r="F19" s="49"/>
      <x:c r="G19" s="49"/>
    </x:row>
    <x:row r="20">
      <x:c r="A20" s="49"/>
      <x:c r="B20" s="49"/>
      <x:c r="C20" s="49"/>
      <x:c r="D20" s="49"/>
      <x:c r="E20" s="49"/>
      <x:c r="F20" s="49"/>
      <x:c r="G20" s="49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eee1a154bea4c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21" t="str">
        <x:v>SOURCE HARDWARE LATENCY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2" ht="30" customHeight="1">
      <x:c r="A2" s="23" t="str">
        <x:v>Chỉ nhận các trial PLC thật đã đạt số mẫu tối thiểu; hiện không có dữ liệu thì bảng phải để trống.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</x:row>
    <x:row r="4">
      <x:c r="A4" s="24" t="str">
        <x:v>Network</x:v>
      </x:c>
      <x:c r="B4" s="34" t="str">
        <x:v>Endpoint</x:v>
      </x:c>
      <x:c r="C4" s="34" t="str">
        <x:v>Source</x:v>
      </x:c>
      <x:c r="D4" s="34" t="str">
        <x:v>n</x:v>
      </x:c>
      <x:c r="E4" s="34" t="str">
        <x:v>Rejected</x:v>
      </x:c>
      <x:c r="F4" s="34" t="str">
        <x:v>Mean (ms)</x:v>
      </x:c>
      <x:c r="G4" s="34" t="str">
        <x:v>Median (ms)</x:v>
      </x:c>
      <x:c r="H4" s="34" t="str">
        <x:v>SD (ms)</x:v>
      </x:c>
      <x:c r="I4" s="34" t="str">
        <x:v>Min (ms)</x:v>
      </x:c>
      <x:c r="J4" s="34" t="str">
        <x:v>P95 (ms)</x:v>
      </x:c>
      <x:c r="K4" s="34" t="str">
        <x:v>Max (ms)</x:v>
      </x:c>
      <x:c r="L4" s="25" t="str">
        <x:v>Đủ mẫu</x:v>
      </x:c>
    </x:row>
    <x:row r="5" ht="34" customHeight="1">
      <x:c r="A5" s="55" t="str">
        <x:v>CHỜ DỮ LIỆU PLC THẬT: chưa có nhóm nào đạt tối thiểu 30 trial hợp lệ.</x:v>
      </x:c>
      <x:c r="B5" s="49"/>
      <x:c r="C5" s="49"/>
      <x:c r="D5" s="49"/>
      <x:c r="E5" s="49"/>
      <x:c r="F5" s="49"/>
      <x:c r="G5" s="49"/>
      <x:c r="H5" s="49"/>
      <x:c r="I5" s="49"/>
      <x:c r="J5" s="49"/>
      <x:c r="K5" s="49"/>
      <x:c r="L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</x:row>
  </x:sheetData>
  <x:mergeCells>
    <x:mergeCell ref="A1:L1"/>
    <x:mergeCell ref="A2:L2"/>
    <x:mergeCell ref="A5:L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21" t="str">
        <x:v>KẾT QUẢ FORECAST HIỆN CÓ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</x:row>
    <x:row r="2" ht="30" customHeight="1">
      <x:c r="A2" s="23" t="str">
        <x:v>Kết quả UCI hiện tại chưa có persistence baseline, R² và inference nên chỉ dùng để mô tả trạng thái cũ, chưa dùng làm kết luận cuối.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</x:row>
    <x:row r="4">
      <x:c r="A4" s="24" t="str">
        <x:v>Model</x:v>
      </x:c>
      <x:c r="B4" s="34" t="str">
        <x:v>MAE test (kW)</x:v>
      </x:c>
      <x:c r="C4" s="34" t="str">
        <x:v>RMSE test (kW)</x:v>
      </x:c>
      <x:c r="D4" s="34" t="str">
        <x:v>MAPE test (%)</x:v>
      </x:c>
      <x:c r="E4" s="34" t="str">
        <x:v>R²</x:v>
      </x:c>
      <x:c r="F4" s="34" t="str">
        <x:v>Inference (ms/sample)</x:v>
      </x:c>
      <x:c r="G4" s="25" t="str">
        <x:v>Trạng thái</x:v>
      </x:c>
      <x:c r="H4" s="49"/>
      <x:c r="I4" s="49"/>
      <x:c r="J4" s="49"/>
      <x:c r="K4" s="49"/>
      <x:c r="L4" s="49"/>
      <x:c r="M4" s="49"/>
      <x:c r="N4" s="49"/>
      <x:c r="O4" s="49"/>
      <x:c r="P4" s="49"/>
    </x:row>
    <x:row r="5">
      <x:c r="A5" s="49" t="str">
        <x:v>Random Forest</x:v>
      </x:c>
      <x:c r="B5" s="54" t="n">
        <x:f>'Source Forecast'!C6</x:f>
        <x:v>0.4096988406067874</x:v>
      </x:c>
      <x:c r="C5" s="54" t="n">
        <x:f>'Source Forecast'!D6</x:f>
        <x:v>0.5636062260833368</x:v>
      </x:c>
      <x:c r="D5" s="54" t="n">
        <x:f>'Source Forecast'!E6</x:f>
        <x:v>57.9386214454387</x:v>
      </x:c>
      <x:c r="E5" s="54" t="str">
        <x:f>IF('Source Forecast'!F6="","",'Source Forecast'!F6)</x:f>
      </x:c>
      <x:c r="F5" s="54" t="str">
        <x:f>IF('Source Forecast'!G6="","",'Source Forecast'!G6)</x:f>
      </x:c>
      <x:c r="G5" s="55" t="str">
        <x:v>CHƯA ĐỦ BẰNG CHỨNG</x:v>
      </x:c>
      <x:c r="H5" s="49"/>
      <x:c r="I5" s="49"/>
      <x:c r="J5" s="49"/>
      <x:c r="K5" s="49"/>
      <x:c r="L5" s="49"/>
      <x:c r="M5" s="49"/>
      <x:c r="N5" s="49"/>
      <x:c r="O5" s="49"/>
      <x:c r="P5" s="49"/>
    </x:row>
    <x:row r="6">
      <x:c r="A6" s="49" t="str">
        <x:v>XGBoost</x:v>
      </x:c>
      <x:c r="B6" s="54" t="n">
        <x:f>'Source Forecast'!C8</x:f>
        <x:v>0.4010042656218205</x:v>
      </x:c>
      <x:c r="C6" s="54" t="n">
        <x:f>'Source Forecast'!D8</x:f>
        <x:v>0.5589435250621108</x:v>
      </x:c>
      <x:c r="D6" s="54" t="n">
        <x:f>'Source Forecast'!E8</x:f>
        <x:v>55.81322751125612</x:v>
      </x:c>
      <x:c r="E6" s="54" t="str">
        <x:f>IF('Source Forecast'!F8="","",'Source Forecast'!F8)</x:f>
      </x:c>
      <x:c r="F6" s="54" t="str">
        <x:f>IF('Source Forecast'!G8="","",'Source Forecast'!G8)</x:f>
      </x:c>
      <x:c r="G6" s="55" t="str">
        <x:v>CHƯA ĐỦ BẰNG CHỨNG</x:v>
      </x:c>
      <x:c r="H6" s="49"/>
      <x:c r="I6" s="49"/>
      <x:c r="J6" s="49"/>
      <x:c r="K6" s="49"/>
      <x:c r="L6" s="49"/>
      <x:c r="M6" s="49"/>
      <x:c r="N6" s="49"/>
      <x:c r="O6" s="49"/>
      <x:c r="P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</x:row>
    <x:row r="9" ht="42" customHeight="1">
      <x:c r="A9" s="56" t="str">
        <x:v>Không có số latency phần cứng trong workbook này. Hãy chạy collector/analyzer và sinh lại canonical source sau khi PLC/MFM384 được kết nối thật.</x:v>
      </x:c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</x:row>
  </x:sheetData>
  <x:mergeCells>
    <x:mergeCell ref="A1:G1"/>
    <x:mergeCell ref="A2:G2"/>
    <x:mergeCell ref="A9:G10"/>
  </x:mergeCells>
  <x:pageMargins left="0.7" right="0.7" top="0.75" bottom="0.75" header="0.3" footer="0.3"/>
  <x:drawing xmlns:r="http://schemas.openxmlformats.org/officeDocument/2006/relationships" r:id="Rb0f2e4163e844a5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55" hidden="0" customWidth="1"/>
    <x:col min="4" max="4" width="28" hidden="0" customWidth="1"/>
  </x:cols>
  <x:sheetData>
    <x:row r="1" ht="32" customHeight="1">
      <x:c r="A1" s="21" t="str">
        <x:v>EVIDENCE GATE CHO BÀI BÁO VÀ LUẬN VĂN</x:v>
      </x:c>
      <x:c r="B1" s="49"/>
      <x:c r="C1" s="49"/>
      <x:c r="D1" s="49"/>
      <x:c r="E1" s="49"/>
    </x:row>
    <x:row r="2" ht="30" customHeight="1">
      <x:c r="A2" s="23" t="str">
        <x:v>FALSE/PENDING nghĩa là chỉ được viết dưới dạng hiện trạng hoặc công việc tương lai, không được viết như kết quả đã kiểm chứng.</x:v>
      </x:c>
      <x:c r="B2" s="49"/>
      <x:c r="C2" s="49"/>
      <x:c r="D2" s="49"/>
      <x:c r="E2" s="49"/>
    </x:row>
    <x:row r="3">
      <x:c r="A3" s="49"/>
      <x:c r="B3" s="49"/>
      <x:c r="C3" s="49"/>
      <x:c r="D3" s="49"/>
      <x:c r="E3" s="49"/>
    </x:row>
    <x:row r="4">
      <x:c r="A4" s="24" t="str">
        <x:v>Claim</x:v>
      </x:c>
      <x:c r="B4" s="34" t="str">
        <x:v>Allowed</x:v>
      </x:c>
      <x:c r="C4" s="34" t="str">
        <x:v>Bằng chứng bắt buộc</x:v>
      </x:c>
      <x:c r="D4" s="25" t="str">
        <x:v>Hiện trạng</x:v>
      </x:c>
      <x:c r="E4" s="49"/>
    </x:row>
    <x:row r="5">
      <x:c r="A5" s="49" t="str">
        <x:v>Benchmark dataset công khai</x:v>
      </x:c>
      <x:c r="B5" s="57" t="b">
        <x:v>0</x:v>
      </x:c>
      <x:c r="C5" s="51" t="str">
        <x:v>metrics có persistence baseline, R², inference và split range</x:v>
      </x:c>
      <x:c r="D5" s="51" t="str">
        <x:v>Chưa hoàn tất benchmark mới</x:v>
      </x:c>
      <x:c r="E5" s="49"/>
    </x:row>
    <x:row r="6">
      <x:c r="A6" s="49" t="str">
        <x:v>Benchmark MFM384 địa phương</x:v>
      </x:c>
      <x:c r="B6" s="57" t="b">
        <x:v>0</x:v>
      </x:c>
      <x:c r="C6" s="51" t="str">
        <x:v>&gt;=30 ngày dữ liệu địa phương + persistence baseline</x:v>
      </x:c>
      <x:c r="D6" s="51" t="str">
        <x:v>Chờ dữ liệu thật</x:v>
      </x:c>
      <x:c r="E6" s="49"/>
    </x:row>
    <x:row r="7">
      <x:c r="A7" s="49" t="str">
        <x:v>Độ trễ phần cứng</x:v>
      </x:c>
      <x:c r="B7" s="57" t="b">
        <x:v>0</x:v>
      </x:c>
      <x:c r="C7" s="51" t="str">
        <x:v>&gt;=30 trial/điều kiện, source plc-s7-1200, mean/SD/p95</x:v>
      </x:c>
      <x:c r="D7" s="51" t="str">
        <x:v>Chờ raw log</x:v>
      </x:c>
      <x:c r="E7" s="49"/>
    </x:row>
    <x:row r="8">
      <x:c r="A8" s="49" t="str">
        <x:v>Sa thải tải tự động</x:v>
      </x:c>
      <x:c r="B8" s="57" t="b">
        <x:v>0</x:v>
      </x:c>
      <x:c r="C8" s="51" t="str">
        <x:v>interlock + tải thiết yếu + feedback + thử nghiệm an toàn</x:v>
      </x:c>
      <x:c r="D8" s="51" t="str">
        <x:v>Đang tắt mặc định</x:v>
      </x:c>
      <x:c r="E8" s="49"/>
    </x:row>
    <x:row r="9">
      <x:c r="A9" s="49"/>
      <x:c r="B9" s="49"/>
      <x:c r="C9" s="49"/>
      <x:c r="D9" s="49"/>
      <x:c r="E9" s="49"/>
    </x:row>
    <x:row r="10">
      <x:c r="A10" s="49"/>
      <x:c r="B10" s="49"/>
      <x:c r="C10" s="49"/>
      <x:c r="D10" s="49"/>
      <x:c r="E10" s="49"/>
    </x:row>
    <x:row r="11">
      <x:c r="A11" s="49"/>
      <x:c r="B11" s="49"/>
      <x:c r="C11" s="49"/>
      <x:c r="D11" s="49"/>
      <x:c r="E11" s="49"/>
    </x:row>
    <x:row r="12">
      <x:c r="A12" s="49"/>
      <x:c r="B12" s="49"/>
      <x:c r="C12" s="49"/>
      <x:c r="D12" s="49"/>
      <x:c r="E12" s="49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fbd6302e44c4358"/>
  </x:tableParts>
</x:worksheet>
</file>